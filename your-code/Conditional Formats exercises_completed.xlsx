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2" activeTab="3"/>
  </bookViews>
  <sheets>
    <sheet name="Exercise 1 solved" sheetId="1" state="hidden" r:id="rId3"/>
    <sheet name="Exercise 2 solved" sheetId="2" state="hidden" r:id="rId4"/>
    <sheet name="Exercise 1" sheetId="3" state="visible" r:id="rId5"/>
    <sheet name="Exercise 2" sheetId="4" state="visible" r:id="rId6"/>
  </sheets>
  <definedNames>
    <definedName function="false" hidden="false" name="Hourly_Pay_Rate" vbProcedure="false">'Exercise 2'!$M$3</definedName>
    <definedName function="false" hidden="false" name="Nat_Ins_Rate" vbProcedure="false">'Exercise 2'!$M$4</definedName>
    <definedName function="false" hidden="false" name="Pension_Cont" vbProcedure="false">'Exercise 2'!$M$6</definedName>
    <definedName function="false" hidden="false" name="Tax_Rate" vbProcedure="false">'Exercise 2'!$M$5</definedName>
    <definedName function="false" hidden="false" localSheetId="1" name="Hourly_Pay_Rate" vbProcedure="false">'Exercise 2 solved'!$M$3</definedName>
    <definedName function="false" hidden="false" localSheetId="1" name="Nat_Ins_Rate" vbProcedure="false">'Exercise 2 solved'!$M$4</definedName>
    <definedName function="false" hidden="false" localSheetId="1" name="Pension_Cont" vbProcedure="false">'Exercise 2 solved'!$M$6</definedName>
    <definedName function="false" hidden="false" localSheetId="1" name="Tax_Rate" vbProcedure="false">'Exercise 2 solved'!$M$5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<sst xmlns="http://schemas.openxmlformats.org/spreadsheetml/2006/main" count="234" uniqueCount="75">
  <si>
    <t xml:space="preserve">Candidate ID</t>
  </si>
  <si>
    <t xml:space="preserve">Area</t>
  </si>
  <si>
    <t xml:space="preserve">Gender</t>
  </si>
  <si>
    <t xml:space="preserve">Age</t>
  </si>
  <si>
    <t xml:space="preserve">Result</t>
  </si>
  <si>
    <t xml:space="preserve">North</t>
  </si>
  <si>
    <t xml:space="preserve">M</t>
  </si>
  <si>
    <t xml:space="preserve">South-East</t>
  </si>
  <si>
    <t xml:space="preserve">Midlands</t>
  </si>
  <si>
    <t xml:space="preserve">F</t>
  </si>
  <si>
    <t xml:space="preserve">South-West</t>
  </si>
  <si>
    <t xml:space="preserve">Scotland</t>
  </si>
  <si>
    <t xml:space="preserve">Conditional formats in cols</t>
  </si>
  <si>
    <t xml:space="preserve">Cand nos &lt; 300000</t>
  </si>
  <si>
    <t xml:space="preserve">Southern candidates</t>
  </si>
  <si>
    <t xml:space="preserve">Female Candidates</t>
  </si>
  <si>
    <t xml:space="preserve">Mature candidates (&gt; 40 years) and data bars</t>
  </si>
  <si>
    <t xml:space="preserve">Top 5%</t>
  </si>
  <si>
    <t xml:space="preserve">Staff ID</t>
  </si>
  <si>
    <t xml:space="preserve">Surname</t>
  </si>
  <si>
    <t xml:space="preserve">Initial</t>
  </si>
  <si>
    <t xml:space="preserve">Hours Worked</t>
  </si>
  <si>
    <t xml:space="preserve">Pay</t>
  </si>
  <si>
    <t xml:space="preserve">Nat Ins</t>
  </si>
  <si>
    <t xml:space="preserve">Tax</t>
  </si>
  <si>
    <t xml:space="preserve">Extra remuneration</t>
  </si>
  <si>
    <t xml:space="preserve">Final Pay</t>
  </si>
  <si>
    <t xml:space="preserve">Hourly Pay Rate</t>
  </si>
  <si>
    <t xml:space="preserve">M/111</t>
  </si>
  <si>
    <t xml:space="preserve">Abbot</t>
  </si>
  <si>
    <t xml:space="preserve">R</t>
  </si>
  <si>
    <t xml:space="preserve">Nat Ins Rate</t>
  </si>
  <si>
    <t xml:space="preserve">M/289</t>
  </si>
  <si>
    <t xml:space="preserve">Arlington</t>
  </si>
  <si>
    <t xml:space="preserve">T</t>
  </si>
  <si>
    <t xml:space="preserve">Tax Rate</t>
  </si>
  <si>
    <t xml:space="preserve">FFF/112</t>
  </si>
  <si>
    <t xml:space="preserve">Brown</t>
  </si>
  <si>
    <t xml:space="preserve">H</t>
  </si>
  <si>
    <t xml:space="preserve">Pension Cont</t>
  </si>
  <si>
    <t xml:space="preserve">F/219</t>
  </si>
  <si>
    <t xml:space="preserve">Davies</t>
  </si>
  <si>
    <t xml:space="preserve">F/881</t>
  </si>
  <si>
    <t xml:space="preserve">Davis</t>
  </si>
  <si>
    <t xml:space="preserve">G</t>
  </si>
  <si>
    <t xml:space="preserve">BNM/6</t>
  </si>
  <si>
    <t xml:space="preserve">W</t>
  </si>
  <si>
    <t xml:space="preserve">F/66</t>
  </si>
  <si>
    <t xml:space="preserve">Fox</t>
  </si>
  <si>
    <t xml:space="preserve">S</t>
  </si>
  <si>
    <t xml:space="preserve">M/557</t>
  </si>
  <si>
    <t xml:space="preserve">Kelsey</t>
  </si>
  <si>
    <t xml:space="preserve">A</t>
  </si>
  <si>
    <t xml:space="preserve">M/44</t>
  </si>
  <si>
    <t xml:space="preserve">Marsh</t>
  </si>
  <si>
    <t xml:space="preserve">MFF/191</t>
  </si>
  <si>
    <t xml:space="preserve">Oliver</t>
  </si>
  <si>
    <t xml:space="preserve">M </t>
  </si>
  <si>
    <t xml:space="preserve">M/1352</t>
  </si>
  <si>
    <t xml:space="preserve">Potts</t>
  </si>
  <si>
    <t xml:space="preserve">B</t>
  </si>
  <si>
    <t xml:space="preserve">F/336</t>
  </si>
  <si>
    <t xml:space="preserve">Taylor</t>
  </si>
  <si>
    <t xml:space="preserve">TOTAL</t>
  </si>
  <si>
    <t xml:space="preserve">Cond formats in cols:</t>
  </si>
  <si>
    <t xml:space="preserve">Symbol after "/" equal to 1</t>
  </si>
  <si>
    <t xml:space="preserve">Lenght &gt; 5</t>
  </si>
  <si>
    <t xml:space="preserve">last week</t>
  </si>
  <si>
    <t xml:space="preserve">Top 25%</t>
  </si>
  <si>
    <t xml:space="preserve">&gt;average</t>
  </si>
  <si>
    <t xml:space="preserve">color scales: bigger is bad</t>
  </si>
  <si>
    <t xml:space="preserve">Color scales: bigger is good</t>
  </si>
  <si>
    <t xml:space="preserve">icom set: &gt;2000;&gt;1000;&lt;1000</t>
  </si>
  <si>
    <t xml:space="preserve">Cand ID &lt; 300000</t>
  </si>
  <si>
    <t xml:space="preserve">Mature cand &gt; 40 and data bars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</si>
</sst>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%"/>
    <numFmt numFmtId="167" formatCode="m/d/yyyy"/>
    <numFmt numFmtId="168" formatCode="\£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i val="true"/>
      <sz val="9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"/>
        <bgColor rgb="FFDEEBF7"/>
      </patternFill>
    </fill>
    <fill>
      <patternFill patternType="solid">
        <fgColor theme="9" tint="0.7999"/>
        <bgColor rgb="FFEDEDED"/>
      </patternFill>
    </fill>
    <fill>
      <patternFill patternType="solid">
        <fgColor theme="5" tint="0.7999"/>
        <bgColor rgb="FFEDEDED"/>
      </patternFill>
    </fill>
    <fill>
      <patternFill patternType="solid">
        <fgColor theme="8" tint="0.799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b val="1"/>
        <i val="1"/>
        <color rgb="FF7030A0"/>
      </font>
      <fill>
        <patternFill>
          <bgColor theme="4" tint="0.5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5"/>
        </patternFill>
      </fill>
    </dxf>
    <dxf>
      <font>
        <color rgb="00FFFFFF"/>
      </font>
      <fill>
        <patternFill>
          <bgColor rgb="FF000000"/>
        </patternFill>
      </fill>
      <border diagonalUp="false" diagonalDown="false">
        <left style="dotted">
          <color theme="4"/>
        </left>
        <right/>
        <top/>
        <bottom style="dashDotDot">
          <color rgb="FFFF0000"/>
        </bottom>
        <diagonal/>
      </border>
    </dxf>
    <dxf>
      <font>
        <color rgb="FFFFFFFF"/>
      </font>
      <fill>
        <patternFill>
          <bgColor theme="4"/>
        </patternFill>
      </fill>
    </dxf>
    <dxf>
      <font>
        <color rgb="FFFF0000"/>
      </font>
      <fill>
        <patternFill>
          <bgColor theme="5" tint="0.399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EAF7"/>
        </patternFill>
      </fill>
    </dxf>
    <dxf>
      <fill>
        <patternFill>
          <bgColor rgb="FFFFD966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E2F0D9"/>
      <rgbColor rgb="FFD9EA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B9C"/>
      <rgbColor rgb="FFEDEDED"/>
      <rgbColor rgb="FFF4B183"/>
      <rgbColor rgb="FFFBE5D6"/>
      <rgbColor rgb="FFFFC7CE"/>
      <rgbColor rgb="FF4472C4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718200</xdr:colOff>
      <xdr:row>18</xdr:row>
      <xdr:rowOff>152280</xdr:rowOff>
    </xdr:from>
    <xdr:to>
      <xdr:col>9</xdr:col>
      <xdr:colOff>498600</xdr:colOff>
      <xdr:row>32</xdr:row>
      <xdr:rowOff>115920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18200" y="3686040"/>
          <a:ext cx="6900120" cy="249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18</xdr:col>
      <xdr:colOff>55440</xdr:colOff>
      <xdr:row>30</xdr:row>
      <xdr:rowOff>130320</xdr:rowOff>
    </xdr:to>
    <xdr:pic>
      <xdr:nvPicPr>
        <xdr:cNvPr id="1" name="Picture 3" descr=""/>
        <xdr:cNvPicPr/>
      </xdr:nvPicPr>
      <xdr:blipFill>
        <a:blip r:embed="rId2"/>
        <a:stretch/>
      </xdr:blipFill>
      <xdr:spPr>
        <a:xfrm>
          <a:off x="9554040" y="3714840"/>
          <a:ext cx="3724560" cy="2121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718200</xdr:colOff>
      <xdr:row>18</xdr:row>
      <xdr:rowOff>152280</xdr:rowOff>
    </xdr:from>
    <xdr:to>
      <xdr:col>9</xdr:col>
      <xdr:colOff>498600</xdr:colOff>
      <xdr:row>32</xdr:row>
      <xdr:rowOff>115920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718200" y="3686040"/>
          <a:ext cx="6900120" cy="249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18</xdr:col>
      <xdr:colOff>55440</xdr:colOff>
      <xdr:row>30</xdr:row>
      <xdr:rowOff>130320</xdr:rowOff>
    </xdr:to>
    <xdr:pic>
      <xdr:nvPicPr>
        <xdr:cNvPr id="3" name="Picture 3" descr=""/>
        <xdr:cNvPicPr/>
      </xdr:nvPicPr>
      <xdr:blipFill>
        <a:blip r:embed="rId2"/>
        <a:stretch/>
      </xdr:blipFill>
      <xdr:spPr>
        <a:xfrm>
          <a:off x="9554040" y="3714840"/>
          <a:ext cx="3724560" cy="2121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N3" activeCellId="0" sqref="N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13.67"/>
    <col collapsed="false" customWidth="true" hidden="false" outlineLevel="0" max="3" min="3" style="0" width="14.88"/>
    <col collapsed="false" customWidth="true" hidden="false" outlineLevel="0" max="4" min="4" style="1" width="8.88"/>
    <col collapsed="false" customWidth="true" hidden="false" outlineLevel="0" max="5" min="5" style="1" width="18"/>
    <col collapsed="false" customWidth="true" hidden="false" outlineLevel="0" max="6" min="6" style="2" width="8.88"/>
  </cols>
  <sheetData>
    <row r="3" customFormat="false" ht="14.25" hidden="false" customHeight="false" outlineLevel="0" collapsed="false">
      <c r="B3" s="3" t="s">
        <v>0</v>
      </c>
      <c r="C3" s="4" t="s">
        <v>1</v>
      </c>
      <c r="D3" s="3" t="s">
        <v>2</v>
      </c>
      <c r="E3" s="3" t="s">
        <v>3</v>
      </c>
      <c r="F3" s="5" t="s">
        <v>4</v>
      </c>
    </row>
    <row r="4" customFormat="false" ht="14.25" hidden="false" customHeight="false" outlineLevel="0" collapsed="false">
      <c r="B4" s="6" t="n">
        <v>980748</v>
      </c>
      <c r="C4" s="7" t="s">
        <v>5</v>
      </c>
      <c r="D4" s="6" t="s">
        <v>6</v>
      </c>
      <c r="E4" s="6" t="n">
        <v>24</v>
      </c>
      <c r="F4" s="8" t="n">
        <v>0.87</v>
      </c>
    </row>
    <row r="5" customFormat="false" ht="14.25" hidden="false" customHeight="false" outlineLevel="0" collapsed="false">
      <c r="B5" s="6" t="n">
        <v>379829</v>
      </c>
      <c r="C5" s="7" t="s">
        <v>7</v>
      </c>
      <c r="D5" s="6" t="s">
        <v>6</v>
      </c>
      <c r="E5" s="6" t="n">
        <v>32</v>
      </c>
      <c r="F5" s="8" t="n">
        <v>0.55</v>
      </c>
    </row>
    <row r="6" customFormat="false" ht="14.25" hidden="false" customHeight="false" outlineLevel="0" collapsed="false">
      <c r="B6" s="6" t="n">
        <v>838293</v>
      </c>
      <c r="C6" s="7" t="s">
        <v>8</v>
      </c>
      <c r="D6" s="6" t="s">
        <v>6</v>
      </c>
      <c r="E6" s="6" t="n">
        <v>35</v>
      </c>
      <c r="F6" s="8" t="n">
        <v>0.98</v>
      </c>
    </row>
    <row r="7" customFormat="false" ht="14.25" hidden="false" customHeight="false" outlineLevel="0" collapsed="false">
      <c r="B7" s="6" t="n">
        <v>384953</v>
      </c>
      <c r="C7" s="7" t="s">
        <v>8</v>
      </c>
      <c r="D7" s="6" t="s">
        <v>9</v>
      </c>
      <c r="E7" s="6" t="n">
        <v>27</v>
      </c>
      <c r="F7" s="8" t="n">
        <v>0.93</v>
      </c>
    </row>
    <row r="8" customFormat="false" ht="14.25" hidden="false" customHeight="false" outlineLevel="0" collapsed="false">
      <c r="B8" s="6" t="n">
        <v>234242</v>
      </c>
      <c r="C8" s="7" t="s">
        <v>5</v>
      </c>
      <c r="D8" s="6" t="s">
        <v>9</v>
      </c>
      <c r="E8" s="6" t="n">
        <v>33</v>
      </c>
      <c r="F8" s="8" t="n">
        <v>0.78</v>
      </c>
    </row>
    <row r="9" customFormat="false" ht="14.25" hidden="false" customHeight="false" outlineLevel="0" collapsed="false">
      <c r="B9" s="6" t="n">
        <v>234625</v>
      </c>
      <c r="C9" s="7" t="s">
        <v>10</v>
      </c>
      <c r="D9" s="6" t="s">
        <v>6</v>
      </c>
      <c r="E9" s="6" t="n">
        <v>28</v>
      </c>
      <c r="F9" s="8" t="n">
        <v>0.77</v>
      </c>
    </row>
    <row r="10" customFormat="false" ht="14.25" hidden="false" customHeight="false" outlineLevel="0" collapsed="false">
      <c r="B10" s="6" t="n">
        <v>546175</v>
      </c>
      <c r="C10" s="7" t="s">
        <v>7</v>
      </c>
      <c r="D10" s="6" t="s">
        <v>9</v>
      </c>
      <c r="E10" s="6" t="n">
        <v>35</v>
      </c>
      <c r="F10" s="8" t="n">
        <v>0.73</v>
      </c>
    </row>
    <row r="11" customFormat="false" ht="14.25" hidden="false" customHeight="false" outlineLevel="0" collapsed="false">
      <c r="B11" s="6" t="n">
        <v>185675</v>
      </c>
      <c r="C11" s="7" t="s">
        <v>11</v>
      </c>
      <c r="D11" s="6" t="s">
        <v>9</v>
      </c>
      <c r="E11" s="6" t="n">
        <v>35</v>
      </c>
      <c r="F11" s="8" t="n">
        <v>0.55</v>
      </c>
    </row>
    <row r="12" customFormat="false" ht="14.25" hidden="false" customHeight="false" outlineLevel="0" collapsed="false">
      <c r="B12" s="6" t="n">
        <v>456546</v>
      </c>
      <c r="C12" s="7" t="s">
        <v>5</v>
      </c>
      <c r="D12" s="6" t="s">
        <v>6</v>
      </c>
      <c r="E12" s="6" t="n">
        <v>42</v>
      </c>
      <c r="F12" s="8" t="n">
        <v>0.73</v>
      </c>
    </row>
    <row r="13" customFormat="false" ht="14.25" hidden="false" customHeight="false" outlineLevel="0" collapsed="false">
      <c r="B13" s="6" t="n">
        <v>465464</v>
      </c>
      <c r="C13" s="7" t="s">
        <v>7</v>
      </c>
      <c r="D13" s="6" t="s">
        <v>6</v>
      </c>
      <c r="E13" s="6" t="n">
        <v>27</v>
      </c>
      <c r="F13" s="8" t="n">
        <v>0.69</v>
      </c>
    </row>
    <row r="14" customFormat="false" ht="14.25" hidden="false" customHeight="false" outlineLevel="0" collapsed="false">
      <c r="B14" s="6" t="n">
        <v>745644</v>
      </c>
      <c r="C14" s="7" t="s">
        <v>7</v>
      </c>
      <c r="D14" s="6" t="s">
        <v>9</v>
      </c>
      <c r="E14" s="6" t="n">
        <v>26</v>
      </c>
      <c r="F14" s="8" t="n">
        <v>0.38</v>
      </c>
    </row>
    <row r="15" customFormat="false" ht="14.25" hidden="false" customHeight="false" outlineLevel="0" collapsed="false">
      <c r="B15" s="6" t="n">
        <v>641645</v>
      </c>
      <c r="C15" s="7" t="s">
        <v>11</v>
      </c>
      <c r="D15" s="6" t="s">
        <v>9</v>
      </c>
      <c r="E15" s="6" t="n">
        <v>29</v>
      </c>
      <c r="F15" s="8" t="n">
        <v>0.97</v>
      </c>
    </row>
    <row r="16" customFormat="false" ht="14.25" hidden="false" customHeight="false" outlineLevel="0" collapsed="false">
      <c r="B16" s="6" t="n">
        <v>727654</v>
      </c>
      <c r="C16" s="7" t="s">
        <v>8</v>
      </c>
      <c r="D16" s="6" t="s">
        <v>9</v>
      </c>
      <c r="E16" s="6" t="n">
        <v>33</v>
      </c>
      <c r="F16" s="8" t="n">
        <v>0.89</v>
      </c>
    </row>
    <row r="17" customFormat="false" ht="14.25" hidden="false" customHeight="false" outlineLevel="0" collapsed="false">
      <c r="B17" s="6" t="n">
        <v>345634</v>
      </c>
      <c r="C17" s="7" t="s">
        <v>5</v>
      </c>
      <c r="D17" s="6" t="s">
        <v>9</v>
      </c>
      <c r="E17" s="6" t="n">
        <v>30</v>
      </c>
      <c r="F17" s="8" t="n">
        <v>0.77</v>
      </c>
    </row>
    <row r="18" customFormat="false" ht="14.25" hidden="false" customHeight="false" outlineLevel="0" collapsed="false">
      <c r="B18" s="6" t="n">
        <v>457465</v>
      </c>
      <c r="C18" s="7" t="s">
        <v>5</v>
      </c>
      <c r="D18" s="6" t="s">
        <v>6</v>
      </c>
      <c r="E18" s="6" t="n">
        <v>45</v>
      </c>
      <c r="F18" s="8" t="n">
        <v>0.58</v>
      </c>
    </row>
    <row r="19" customFormat="false" ht="14.25" hidden="false" customHeight="false" outlineLevel="0" collapsed="false">
      <c r="B19" s="6" t="n">
        <v>115465</v>
      </c>
      <c r="C19" s="7" t="s">
        <v>10</v>
      </c>
      <c r="D19" s="6" t="s">
        <v>6</v>
      </c>
      <c r="E19" s="6" t="n">
        <v>31</v>
      </c>
      <c r="F19" s="8" t="n">
        <v>0.61</v>
      </c>
    </row>
    <row r="20" customFormat="false" ht="14.25" hidden="false" customHeight="false" outlineLevel="0" collapsed="false">
      <c r="B20" s="6" t="n">
        <v>345464</v>
      </c>
      <c r="C20" s="7" t="s">
        <v>7</v>
      </c>
      <c r="D20" s="6" t="s">
        <v>9</v>
      </c>
      <c r="E20" s="6" t="n">
        <v>30</v>
      </c>
      <c r="F20" s="8" t="n">
        <v>0.67</v>
      </c>
    </row>
    <row r="21" customFormat="false" ht="14.25" hidden="false" customHeight="false" outlineLevel="0" collapsed="false">
      <c r="B21" s="6" t="n">
        <v>896667</v>
      </c>
      <c r="C21" s="7" t="s">
        <v>7</v>
      </c>
      <c r="D21" s="6" t="s">
        <v>9</v>
      </c>
      <c r="E21" s="6" t="n">
        <v>27</v>
      </c>
      <c r="F21" s="8" t="n">
        <v>0.58</v>
      </c>
    </row>
    <row r="22" customFormat="false" ht="14.25" hidden="false" customHeight="false" outlineLevel="0" collapsed="false">
      <c r="B22" s="6" t="n">
        <v>654745</v>
      </c>
      <c r="C22" s="7" t="s">
        <v>11</v>
      </c>
      <c r="D22" s="6" t="s">
        <v>6</v>
      </c>
      <c r="E22" s="6" t="n">
        <v>27</v>
      </c>
      <c r="F22" s="8" t="n">
        <v>0.99</v>
      </c>
    </row>
    <row r="23" customFormat="false" ht="14.25" hidden="false" customHeight="false" outlineLevel="0" collapsed="false">
      <c r="B23" s="6" t="n">
        <v>568545</v>
      </c>
      <c r="C23" s="7" t="s">
        <v>8</v>
      </c>
      <c r="D23" s="6" t="s">
        <v>6</v>
      </c>
      <c r="E23" s="6" t="n">
        <v>29</v>
      </c>
      <c r="F23" s="8" t="n">
        <v>0.92</v>
      </c>
    </row>
    <row r="24" customFormat="false" ht="14.25" hidden="false" customHeight="false" outlineLevel="0" collapsed="false">
      <c r="B24" s="6" t="n">
        <v>667563</v>
      </c>
      <c r="C24" s="7" t="s">
        <v>8</v>
      </c>
      <c r="D24" s="6" t="s">
        <v>9</v>
      </c>
      <c r="E24" s="6" t="n">
        <v>31</v>
      </c>
      <c r="F24" s="8" t="n">
        <v>0.48</v>
      </c>
    </row>
    <row r="25" customFormat="false" ht="14.25" hidden="false" customHeight="false" outlineLevel="0" collapsed="false">
      <c r="B25" s="6" t="n">
        <v>346366</v>
      </c>
      <c r="C25" s="7" t="s">
        <v>11</v>
      </c>
      <c r="D25" s="6" t="s">
        <v>9</v>
      </c>
      <c r="E25" s="6" t="n">
        <v>33</v>
      </c>
      <c r="F25" s="8" t="n">
        <v>0.53</v>
      </c>
    </row>
    <row r="26" customFormat="false" ht="14.25" hidden="false" customHeight="false" outlineLevel="0" collapsed="false">
      <c r="B26" s="6" t="n">
        <v>643456</v>
      </c>
      <c r="C26" s="7" t="s">
        <v>10</v>
      </c>
      <c r="D26" s="6" t="s">
        <v>9</v>
      </c>
      <c r="E26" s="6" t="n">
        <v>42</v>
      </c>
      <c r="F26" s="8" t="n">
        <v>0.86</v>
      </c>
    </row>
    <row r="28" customFormat="false" ht="40.5" hidden="false" customHeight="true" outlineLevel="0" collapsed="false">
      <c r="A28" s="9" t="s">
        <v>12</v>
      </c>
      <c r="B28" s="10" t="s">
        <v>13</v>
      </c>
      <c r="C28" s="10" t="s">
        <v>14</v>
      </c>
      <c r="D28" s="10" t="s">
        <v>15</v>
      </c>
      <c r="E28" s="10" t="s">
        <v>16</v>
      </c>
      <c r="F28" s="10" t="s">
        <v>17</v>
      </c>
    </row>
  </sheetData>
  <conditionalFormatting sqref="F4:F26">
    <cfRule type="top10" priority="2" aboveAverage="0" equalAverage="0" bottom="0" percent="1" rank="5" text="" dxfId="0"/>
  </conditionalFormatting>
  <conditionalFormatting sqref="E4:E26">
    <cfRule type="cellIs" priority="3" operator="greaterThan" aboveAverage="0" equalAverage="0" bottom="0" percent="0" rank="0" text="" dxfId="1">
      <formula>40</formula>
    </cfRule>
    <cfRule type="dataBar" priority="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{4A528037-DE4A-414C-8F1A-3899DECA5761}</x14:id>
        </ext>
      </extLst>
    </cfRule>
  </conditionalFormatting>
  <conditionalFormatting sqref="D4:D26">
    <cfRule type="containsText" priority="5" operator="containsText" aboveAverage="0" equalAverage="0" bottom="0" percent="0" rank="0" text="F" dxfId="1">
      <formula>NOT(ISERROR(SEARCH("F",D4)))</formula>
    </cfRule>
  </conditionalFormatting>
  <conditionalFormatting sqref="C4:C26">
    <cfRule type="containsText" priority="6" operator="containsText" aboveAverage="0" equalAverage="0" bottom="0" percent="0" rank="0" text="East" dxfId="2">
      <formula>NOT(ISERROR(SEARCH("East",C4)))</formula>
    </cfRule>
  </conditionalFormatting>
  <conditionalFormatting sqref="B4:B26">
    <cfRule type="cellIs" priority="7" operator="lessThan" aboveAverage="0" equalAverage="0" bottom="0" percent="0" rank="0" text="" dxfId="3">
      <formula>300000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528037-DE4A-414C-8F1A-3899DECA5761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E4:E26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N3" activeCellId="0" sqref="N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4" style="1" width="7.11"/>
    <col collapsed="false" customWidth="true" hidden="false" outlineLevel="0" max="5" min="5" style="0" width="14.33"/>
    <col collapsed="false" customWidth="true" hidden="false" outlineLevel="0" max="6" min="6" style="0" width="12.22"/>
    <col collapsed="false" customWidth="true" hidden="false" outlineLevel="0" max="8" min="7" style="0" width="10"/>
    <col collapsed="false" customWidth="true" hidden="false" outlineLevel="0" max="9" min="9" style="0" width="19"/>
    <col collapsed="false" customWidth="true" hidden="false" outlineLevel="0" max="10" min="10" style="0" width="15.44"/>
    <col collapsed="false" customWidth="true" hidden="false" outlineLevel="0" max="11" min="11" style="0" width="4.22"/>
    <col collapsed="false" customWidth="true" hidden="false" outlineLevel="0" max="12" min="12" style="0" width="14.88"/>
  </cols>
  <sheetData>
    <row r="3" customFormat="false" ht="14.25" hidden="false" customHeight="false" outlineLevel="0" collapsed="false">
      <c r="B3" s="11" t="s">
        <v>18</v>
      </c>
      <c r="C3" s="11" t="s">
        <v>19</v>
      </c>
      <c r="D3" s="12" t="s">
        <v>20</v>
      </c>
      <c r="E3" s="13" t="s">
        <v>21</v>
      </c>
      <c r="F3" s="13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L3" s="0" t="s">
        <v>27</v>
      </c>
      <c r="M3" s="14" t="n">
        <v>9.87</v>
      </c>
    </row>
    <row r="4" customFormat="false" ht="14.25" hidden="false" customHeight="false" outlineLevel="0" collapsed="false">
      <c r="B4" s="7" t="s">
        <v>28</v>
      </c>
      <c r="C4" s="7" t="s">
        <v>29</v>
      </c>
      <c r="D4" s="6" t="s">
        <v>30</v>
      </c>
      <c r="E4" s="15" t="n">
        <f aca="true">TODAY()</f>
        <v>46302</v>
      </c>
      <c r="F4" s="16" t="n">
        <v>1000</v>
      </c>
      <c r="G4" s="16" t="n">
        <f aca="false">F4*Nat_Ins_Rate</f>
        <v>63</v>
      </c>
      <c r="H4" s="17" t="n">
        <f aca="false">F4*Tax_Rate</f>
        <v>200</v>
      </c>
      <c r="I4" s="16" t="n">
        <f aca="false">F4*Pension_Cont</f>
        <v>38</v>
      </c>
      <c r="J4" s="16" t="n">
        <f aca="false">F4-SUM(G4:I4)</f>
        <v>699</v>
      </c>
      <c r="L4" s="0" t="s">
        <v>31</v>
      </c>
      <c r="M4" s="18" t="n">
        <v>0.063</v>
      </c>
    </row>
    <row r="5" customFormat="false" ht="14.25" hidden="false" customHeight="false" outlineLevel="0" collapsed="false">
      <c r="B5" s="7" t="s">
        <v>32</v>
      </c>
      <c r="C5" s="7" t="s">
        <v>33</v>
      </c>
      <c r="D5" s="6" t="s">
        <v>34</v>
      </c>
      <c r="E5" s="15" t="n">
        <f aca="false">E4-1</f>
        <v>46301</v>
      </c>
      <c r="F5" s="16" t="n">
        <v>1500</v>
      </c>
      <c r="G5" s="16" t="n">
        <f aca="false">F5*Nat_Ins_Rate</f>
        <v>94.5</v>
      </c>
      <c r="H5" s="16" t="n">
        <f aca="false">F5*Tax_Rate</f>
        <v>300</v>
      </c>
      <c r="I5" s="16" t="n">
        <f aca="false">F5*Pension_Cont</f>
        <v>57</v>
      </c>
      <c r="J5" s="16" t="n">
        <f aca="false">F5-SUM(G5:I5)</f>
        <v>1048.5</v>
      </c>
      <c r="L5" s="0" t="s">
        <v>35</v>
      </c>
      <c r="M5" s="18" t="n">
        <v>0.2</v>
      </c>
    </row>
    <row r="6" customFormat="false" ht="14.25" hidden="false" customHeight="false" outlineLevel="0" collapsed="false">
      <c r="B6" s="7" t="s">
        <v>36</v>
      </c>
      <c r="C6" s="7" t="s">
        <v>37</v>
      </c>
      <c r="D6" s="6" t="s">
        <v>38</v>
      </c>
      <c r="E6" s="15" t="n">
        <f aca="false">E5-1</f>
        <v>46300</v>
      </c>
      <c r="F6" s="16" t="n">
        <v>1235</v>
      </c>
      <c r="G6" s="16" t="n">
        <f aca="false">F6*Nat_Ins_Rate</f>
        <v>77.805</v>
      </c>
      <c r="H6" s="16" t="n">
        <f aca="false">F6*Tax_Rate</f>
        <v>247</v>
      </c>
      <c r="I6" s="16" t="n">
        <f aca="false">F6*Pension_Cont</f>
        <v>46.93</v>
      </c>
      <c r="J6" s="16" t="n">
        <f aca="false">F6-SUM(G6:I6)</f>
        <v>863.265</v>
      </c>
      <c r="L6" s="0" t="s">
        <v>39</v>
      </c>
      <c r="M6" s="19" t="n">
        <v>0.038</v>
      </c>
    </row>
    <row r="7" customFormat="false" ht="14.25" hidden="false" customHeight="false" outlineLevel="0" collapsed="false">
      <c r="B7" s="7" t="s">
        <v>40</v>
      </c>
      <c r="C7" s="7" t="s">
        <v>41</v>
      </c>
      <c r="D7" s="6" t="s">
        <v>9</v>
      </c>
      <c r="E7" s="15" t="n">
        <f aca="false">E6-1</f>
        <v>46299</v>
      </c>
      <c r="F7" s="16" t="n">
        <v>1452</v>
      </c>
      <c r="G7" s="16" t="n">
        <f aca="false">F7*Nat_Ins_Rate</f>
        <v>91.476</v>
      </c>
      <c r="H7" s="16" t="n">
        <f aca="false">F7*Tax_Rate</f>
        <v>290.4</v>
      </c>
      <c r="I7" s="16" t="n">
        <f aca="false">F7*Pension_Cont</f>
        <v>55.176</v>
      </c>
      <c r="J7" s="16" t="n">
        <f aca="false">F7-SUM(G7:I7)</f>
        <v>1014.948</v>
      </c>
    </row>
    <row r="8" customFormat="false" ht="14.25" hidden="false" customHeight="false" outlineLevel="0" collapsed="false">
      <c r="B8" s="7" t="s">
        <v>42</v>
      </c>
      <c r="C8" s="7" t="s">
        <v>43</v>
      </c>
      <c r="D8" s="6" t="s">
        <v>44</v>
      </c>
      <c r="E8" s="15" t="n">
        <f aca="false">E7-1</f>
        <v>46298</v>
      </c>
      <c r="F8" s="16" t="n">
        <v>5845</v>
      </c>
      <c r="G8" s="16" t="n">
        <f aca="false">F8*Nat_Ins_Rate</f>
        <v>368.235</v>
      </c>
      <c r="H8" s="16" t="n">
        <f aca="false">F8*Tax_Rate</f>
        <v>1169</v>
      </c>
      <c r="I8" s="16" t="n">
        <f aca="false">F8*Pension_Cont</f>
        <v>222.11</v>
      </c>
      <c r="J8" s="16" t="n">
        <f aca="false">F8-SUM(G8:I8)</f>
        <v>4085.655</v>
      </c>
    </row>
    <row r="9" customFormat="false" ht="14.25" hidden="false" customHeight="false" outlineLevel="0" collapsed="false">
      <c r="B9" s="7" t="s">
        <v>45</v>
      </c>
      <c r="C9" s="7" t="s">
        <v>43</v>
      </c>
      <c r="D9" s="6" t="s">
        <v>46</v>
      </c>
      <c r="E9" s="15" t="n">
        <f aca="false">E8-1</f>
        <v>46297</v>
      </c>
      <c r="F9" s="16" t="n">
        <v>5000</v>
      </c>
      <c r="G9" s="16" t="n">
        <f aca="false">F9*Nat_Ins_Rate</f>
        <v>315</v>
      </c>
      <c r="H9" s="16" t="n">
        <f aca="false">F9*Tax_Rate</f>
        <v>1000</v>
      </c>
      <c r="I9" s="16" t="n">
        <f aca="false">F9*Pension_Cont</f>
        <v>190</v>
      </c>
      <c r="J9" s="16" t="n">
        <f aca="false">F9-SUM(G9:I9)</f>
        <v>3495</v>
      </c>
    </row>
    <row r="10" customFormat="false" ht="14.25" hidden="false" customHeight="false" outlineLevel="0" collapsed="false">
      <c r="B10" s="7" t="s">
        <v>47</v>
      </c>
      <c r="C10" s="7" t="s">
        <v>48</v>
      </c>
      <c r="D10" s="6" t="s">
        <v>49</v>
      </c>
      <c r="E10" s="15" t="n">
        <f aca="false">E9-1</f>
        <v>46296</v>
      </c>
      <c r="F10" s="16" t="n">
        <v>1200</v>
      </c>
      <c r="G10" s="16" t="n">
        <f aca="false">F10*Nat_Ins_Rate</f>
        <v>75.6</v>
      </c>
      <c r="H10" s="16" t="n">
        <f aca="false">F10*Tax_Rate</f>
        <v>240</v>
      </c>
      <c r="I10" s="16" t="n">
        <f aca="false">F10*Pension_Cont</f>
        <v>45.6</v>
      </c>
      <c r="J10" s="16" t="n">
        <f aca="false">F10-SUM(G10:I10)</f>
        <v>838.8</v>
      </c>
    </row>
    <row r="11" customFormat="false" ht="14.25" hidden="false" customHeight="false" outlineLevel="0" collapsed="false">
      <c r="B11" s="7" t="s">
        <v>50</v>
      </c>
      <c r="C11" s="7" t="s">
        <v>51</v>
      </c>
      <c r="D11" s="6" t="s">
        <v>52</v>
      </c>
      <c r="E11" s="15" t="n">
        <f aca="false">E10-1</f>
        <v>46295</v>
      </c>
      <c r="F11" s="16" t="n">
        <v>1320</v>
      </c>
      <c r="G11" s="16" t="n">
        <f aca="false">F11*Nat_Ins_Rate</f>
        <v>83.16</v>
      </c>
      <c r="H11" s="16" t="n">
        <f aca="false">F11*Tax_Rate</f>
        <v>264</v>
      </c>
      <c r="I11" s="16" t="n">
        <f aca="false">F11*Pension_Cont</f>
        <v>50.16</v>
      </c>
      <c r="J11" s="16" t="n">
        <f aca="false">F11-SUM(G11:I11)</f>
        <v>922.68</v>
      </c>
    </row>
    <row r="12" customFormat="false" ht="14.25" hidden="false" customHeight="false" outlineLevel="0" collapsed="false">
      <c r="B12" s="7" t="s">
        <v>53</v>
      </c>
      <c r="C12" s="7" t="s">
        <v>54</v>
      </c>
      <c r="D12" s="6" t="s">
        <v>38</v>
      </c>
      <c r="E12" s="15" t="n">
        <f aca="false">E11-1</f>
        <v>46294</v>
      </c>
      <c r="F12" s="16" t="n">
        <v>1478</v>
      </c>
      <c r="G12" s="16" t="n">
        <f aca="false">F12*Nat_Ins_Rate</f>
        <v>93.114</v>
      </c>
      <c r="H12" s="16" t="n">
        <f aca="false">F12*Tax_Rate</f>
        <v>295.6</v>
      </c>
      <c r="I12" s="16" t="n">
        <f aca="false">F12*Pension_Cont</f>
        <v>56.164</v>
      </c>
      <c r="J12" s="16" t="n">
        <f aca="false">F12-SUM(G12:I12)</f>
        <v>1033.122</v>
      </c>
    </row>
    <row r="13" customFormat="false" ht="14.25" hidden="false" customHeight="false" outlineLevel="0" collapsed="false">
      <c r="B13" s="7" t="s">
        <v>55</v>
      </c>
      <c r="C13" s="7" t="s">
        <v>56</v>
      </c>
      <c r="D13" s="6" t="s">
        <v>57</v>
      </c>
      <c r="E13" s="15" t="n">
        <f aca="false">E12-1</f>
        <v>46293</v>
      </c>
      <c r="F13" s="16" t="n">
        <v>5369</v>
      </c>
      <c r="G13" s="16" t="n">
        <f aca="false">F13*Nat_Ins_Rate</f>
        <v>338.247</v>
      </c>
      <c r="H13" s="16" t="n">
        <f aca="false">F13*Tax_Rate</f>
        <v>1073.8</v>
      </c>
      <c r="I13" s="16" t="n">
        <f aca="false">F13*Pension_Cont</f>
        <v>204.022</v>
      </c>
      <c r="J13" s="16" t="n">
        <f aca="false">F13-SUM(G13:I13)</f>
        <v>3752.931</v>
      </c>
    </row>
    <row r="14" customFormat="false" ht="14.25" hidden="false" customHeight="false" outlineLevel="0" collapsed="false">
      <c r="B14" s="7" t="s">
        <v>58</v>
      </c>
      <c r="C14" s="7" t="s">
        <v>59</v>
      </c>
      <c r="D14" s="6" t="s">
        <v>60</v>
      </c>
      <c r="E14" s="15" t="n">
        <f aca="false">E13-1</f>
        <v>46292</v>
      </c>
      <c r="F14" s="16" t="n">
        <v>2153</v>
      </c>
      <c r="G14" s="16" t="n">
        <f aca="false">F14*Nat_Ins_Rate</f>
        <v>135.639</v>
      </c>
      <c r="H14" s="16" t="n">
        <f aca="false">F14*Tax_Rate</f>
        <v>430.6</v>
      </c>
      <c r="I14" s="16" t="n">
        <f aca="false">F14*Pension_Cont</f>
        <v>81.814</v>
      </c>
      <c r="J14" s="16" t="n">
        <f aca="false">F14-SUM(G14:I14)</f>
        <v>1504.947</v>
      </c>
    </row>
    <row r="15" customFormat="false" ht="14.25" hidden="false" customHeight="false" outlineLevel="0" collapsed="false">
      <c r="B15" s="7" t="s">
        <v>61</v>
      </c>
      <c r="C15" s="7" t="s">
        <v>62</v>
      </c>
      <c r="D15" s="6" t="s">
        <v>38</v>
      </c>
      <c r="E15" s="15" t="n">
        <f aca="false">E14-1</f>
        <v>46291</v>
      </c>
      <c r="F15" s="16" t="n">
        <v>4752</v>
      </c>
      <c r="G15" s="16" t="n">
        <f aca="false">F15*Nat_Ins_Rate</f>
        <v>299.376</v>
      </c>
      <c r="H15" s="16" t="n">
        <f aca="false">F15*Tax_Rate</f>
        <v>950.4</v>
      </c>
      <c r="I15" s="16" t="n">
        <f aca="false">F15*Pension_Cont</f>
        <v>180.576</v>
      </c>
      <c r="J15" s="16" t="n">
        <f aca="false">F15-SUM(G15:I15)</f>
        <v>3321.648</v>
      </c>
    </row>
    <row r="16" customFormat="false" ht="14.25" hidden="false" customHeight="false" outlineLevel="0" collapsed="false">
      <c r="B16" s="20" t="s">
        <v>63</v>
      </c>
      <c r="C16" s="21"/>
      <c r="D16" s="22"/>
      <c r="E16" s="23" t="n">
        <f aca="false">SUM(E4:E15)</f>
        <v>555558</v>
      </c>
      <c r="F16" s="24" t="n">
        <f aca="false">SUM(F4:F15)</f>
        <v>32304</v>
      </c>
      <c r="G16" s="24" t="n">
        <f aca="false">SUM(G4:G15)</f>
        <v>2035.152</v>
      </c>
      <c r="H16" s="24" t="n">
        <f aca="false">SUM(H4:H15)</f>
        <v>6460.8</v>
      </c>
      <c r="I16" s="24" t="n">
        <f aca="false">F16*Pension_Cont</f>
        <v>1227.552</v>
      </c>
      <c r="J16" s="24" t="n">
        <f aca="false">SUM(J4:J15)</f>
        <v>22580.496</v>
      </c>
    </row>
    <row r="18" customFormat="false" ht="36" hidden="false" customHeight="true" outlineLevel="0" collapsed="false">
      <c r="A18" s="25" t="s">
        <v>64</v>
      </c>
      <c r="B18" s="26" t="s">
        <v>65</v>
      </c>
      <c r="C18" s="26" t="s">
        <v>66</v>
      </c>
      <c r="D18" s="26" t="s">
        <v>38</v>
      </c>
      <c r="E18" s="26" t="s">
        <v>67</v>
      </c>
      <c r="F18" s="26" t="s">
        <v>68</v>
      </c>
      <c r="G18" s="26" t="s">
        <v>69</v>
      </c>
      <c r="H18" s="26" t="s">
        <v>70</v>
      </c>
      <c r="I18" s="26" t="s">
        <v>71</v>
      </c>
      <c r="J18" s="26" t="s">
        <v>72</v>
      </c>
    </row>
  </sheetData>
  <conditionalFormatting sqref="J4:J15">
    <cfRule type="iconSet" priority="2">
      <iconSet iconSet="3Arrows">
        <cfvo type="percent" val="0"/>
        <cfvo type="num" val="1000" gte="0"/>
        <cfvo type="num" val="2000" gte="0"/>
      </iconSet>
    </cfRule>
  </conditionalFormatting>
  <conditionalFormatting sqref="I4:I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4:H15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:G15">
    <cfRule type="aboveAverage" priority="5" aboveAverage="1" equalAverage="0" bottom="0" percent="0" rank="0" text="" dxfId="3">
      <formula>0</formula>
    </cfRule>
  </conditionalFormatting>
  <conditionalFormatting sqref="F4:F15">
    <cfRule type="top10" priority="6" aboveAverage="0" equalAverage="0" bottom="0" percent="1" rank="25" text="" dxfId="4"/>
  </conditionalFormatting>
  <conditionalFormatting sqref="E4:E15">
    <cfRule type="timePeriod" priority="7" timePeriod="lastWeek" dxfId="1"/>
  </conditionalFormatting>
  <conditionalFormatting sqref="D4:D15">
    <cfRule type="containsText" priority="8" operator="containsText" aboveAverage="0" equalAverage="0" bottom="0" percent="0" rank="0" text="H" dxfId="5">
      <formula>NOT(ISERROR(SEARCH("H",D4)))</formula>
    </cfRule>
  </conditionalFormatting>
  <conditionalFormatting sqref="C4:C15">
    <cfRule type="expression" priority="9" aboveAverage="0" equalAverage="0" bottom="0" percent="0" rank="0" text="" dxfId="6">
      <formula>LEN(C4)&gt;5</formula>
    </cfRule>
  </conditionalFormatting>
  <conditionalFormatting sqref="B4:B15">
    <cfRule type="expression" priority="10" aboveAverage="0" equalAverage="0" bottom="0" percent="0" rank="0" text="" dxfId="7">
      <formula>RIGHT(LEFT(B4,SEARCH("/",B4)+1),1)="1"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28"/>
  <sheetViews>
    <sheetView showFormulas="false" showGridLines="tru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H28" activeCellId="0" sqref="H28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13.67"/>
    <col collapsed="false" customWidth="true" hidden="false" outlineLevel="0" max="3" min="3" style="0" width="14.88"/>
    <col collapsed="false" customWidth="true" hidden="false" outlineLevel="0" max="4" min="4" style="1" width="9.21"/>
    <col collapsed="false" customWidth="true" hidden="false" outlineLevel="0" max="5" min="5" style="1" width="10.88"/>
    <col collapsed="false" customWidth="true" hidden="false" outlineLevel="0" max="6" min="6" style="2" width="9.21"/>
  </cols>
  <sheetData>
    <row r="3" customFormat="false" ht="14.25" hidden="false" customHeight="false" outlineLevel="0" collapsed="false">
      <c r="B3" s="3" t="s">
        <v>0</v>
      </c>
      <c r="C3" s="4" t="s">
        <v>1</v>
      </c>
      <c r="D3" s="3" t="s">
        <v>2</v>
      </c>
      <c r="E3" s="3" t="s">
        <v>3</v>
      </c>
      <c r="F3" s="5" t="s">
        <v>4</v>
      </c>
    </row>
    <row r="4" customFormat="false" ht="14.25" hidden="false" customHeight="false" outlineLevel="0" collapsed="false">
      <c r="B4" s="6" t="n">
        <v>980748</v>
      </c>
      <c r="C4" s="7" t="s">
        <v>5</v>
      </c>
      <c r="D4" s="6" t="s">
        <v>6</v>
      </c>
      <c r="E4" s="6" t="n">
        <v>24</v>
      </c>
      <c r="F4" s="8" t="n">
        <v>0.87</v>
      </c>
    </row>
    <row r="5" customFormat="false" ht="14.25" hidden="false" customHeight="false" outlineLevel="0" collapsed="false">
      <c r="B5" s="6" t="n">
        <v>379829</v>
      </c>
      <c r="C5" s="7" t="s">
        <v>7</v>
      </c>
      <c r="D5" s="6" t="s">
        <v>6</v>
      </c>
      <c r="E5" s="6" t="n">
        <v>32</v>
      </c>
      <c r="F5" s="8" t="n">
        <v>0.55</v>
      </c>
    </row>
    <row r="6" customFormat="false" ht="14.25" hidden="false" customHeight="false" outlineLevel="0" collapsed="false">
      <c r="B6" s="6" t="n">
        <v>838293</v>
      </c>
      <c r="C6" s="7" t="s">
        <v>8</v>
      </c>
      <c r="D6" s="6" t="s">
        <v>6</v>
      </c>
      <c r="E6" s="6" t="n">
        <v>35</v>
      </c>
      <c r="F6" s="8" t="n">
        <v>0.98</v>
      </c>
    </row>
    <row r="7" customFormat="false" ht="14.25" hidden="false" customHeight="false" outlineLevel="0" collapsed="false">
      <c r="B7" s="6" t="n">
        <v>384953</v>
      </c>
      <c r="C7" s="7" t="s">
        <v>8</v>
      </c>
      <c r="D7" s="6" t="s">
        <v>9</v>
      </c>
      <c r="E7" s="6" t="n">
        <v>27</v>
      </c>
      <c r="F7" s="8" t="n">
        <v>0.93</v>
      </c>
    </row>
    <row r="8" customFormat="false" ht="14.25" hidden="false" customHeight="false" outlineLevel="0" collapsed="false">
      <c r="B8" s="6" t="n">
        <v>234242</v>
      </c>
      <c r="C8" s="7" t="s">
        <v>5</v>
      </c>
      <c r="D8" s="6" t="s">
        <v>9</v>
      </c>
      <c r="E8" s="6" t="n">
        <v>33</v>
      </c>
      <c r="F8" s="8" t="n">
        <v>0.78</v>
      </c>
    </row>
    <row r="9" customFormat="false" ht="14.25" hidden="false" customHeight="false" outlineLevel="0" collapsed="false">
      <c r="B9" s="6" t="n">
        <v>234625</v>
      </c>
      <c r="C9" s="7" t="s">
        <v>10</v>
      </c>
      <c r="D9" s="6" t="s">
        <v>6</v>
      </c>
      <c r="E9" s="6" t="n">
        <v>28</v>
      </c>
      <c r="F9" s="8" t="n">
        <v>0.77</v>
      </c>
    </row>
    <row r="10" customFormat="false" ht="14.25" hidden="false" customHeight="false" outlineLevel="0" collapsed="false">
      <c r="B10" s="6" t="n">
        <v>546175</v>
      </c>
      <c r="C10" s="7" t="s">
        <v>7</v>
      </c>
      <c r="D10" s="6" t="s">
        <v>9</v>
      </c>
      <c r="E10" s="6" t="n">
        <v>35</v>
      </c>
      <c r="F10" s="8" t="n">
        <v>0.73</v>
      </c>
    </row>
    <row r="11" customFormat="false" ht="14.25" hidden="false" customHeight="false" outlineLevel="0" collapsed="false">
      <c r="B11" s="6" t="n">
        <v>185675</v>
      </c>
      <c r="C11" s="7" t="s">
        <v>11</v>
      </c>
      <c r="D11" s="6" t="s">
        <v>9</v>
      </c>
      <c r="E11" s="6" t="n">
        <v>35</v>
      </c>
      <c r="F11" s="8" t="n">
        <v>0.55</v>
      </c>
    </row>
    <row r="12" customFormat="false" ht="14.25" hidden="false" customHeight="false" outlineLevel="0" collapsed="false">
      <c r="B12" s="6" t="n">
        <v>456546</v>
      </c>
      <c r="C12" s="7" t="s">
        <v>5</v>
      </c>
      <c r="D12" s="6" t="s">
        <v>6</v>
      </c>
      <c r="E12" s="6" t="n">
        <v>42</v>
      </c>
      <c r="F12" s="8" t="n">
        <v>0.73</v>
      </c>
    </row>
    <row r="13" customFormat="false" ht="14.25" hidden="false" customHeight="false" outlineLevel="0" collapsed="false">
      <c r="B13" s="6" t="n">
        <v>465464</v>
      </c>
      <c r="C13" s="7" t="s">
        <v>7</v>
      </c>
      <c r="D13" s="6" t="s">
        <v>6</v>
      </c>
      <c r="E13" s="6" t="n">
        <v>27</v>
      </c>
      <c r="F13" s="8" t="n">
        <v>0.69</v>
      </c>
    </row>
    <row r="14" customFormat="false" ht="14.25" hidden="false" customHeight="false" outlineLevel="0" collapsed="false">
      <c r="B14" s="6" t="n">
        <v>745644</v>
      </c>
      <c r="C14" s="7" t="s">
        <v>7</v>
      </c>
      <c r="D14" s="6" t="s">
        <v>9</v>
      </c>
      <c r="E14" s="6" t="n">
        <v>26</v>
      </c>
      <c r="F14" s="8" t="n">
        <v>0.38</v>
      </c>
    </row>
    <row r="15" customFormat="false" ht="14.25" hidden="false" customHeight="false" outlineLevel="0" collapsed="false">
      <c r="B15" s="6" t="n">
        <v>641645</v>
      </c>
      <c r="C15" s="7" t="s">
        <v>11</v>
      </c>
      <c r="D15" s="6" t="s">
        <v>9</v>
      </c>
      <c r="E15" s="6" t="n">
        <v>29</v>
      </c>
      <c r="F15" s="8" t="n">
        <v>0.97</v>
      </c>
    </row>
    <row r="16" customFormat="false" ht="14.25" hidden="false" customHeight="false" outlineLevel="0" collapsed="false">
      <c r="B16" s="6" t="n">
        <v>727654</v>
      </c>
      <c r="C16" s="7" t="s">
        <v>8</v>
      </c>
      <c r="D16" s="6" t="s">
        <v>9</v>
      </c>
      <c r="E16" s="6" t="n">
        <v>33</v>
      </c>
      <c r="F16" s="8" t="n">
        <v>0.89</v>
      </c>
    </row>
    <row r="17" customFormat="false" ht="14.25" hidden="false" customHeight="false" outlineLevel="0" collapsed="false">
      <c r="B17" s="6" t="n">
        <v>345634</v>
      </c>
      <c r="C17" s="7" t="s">
        <v>5</v>
      </c>
      <c r="D17" s="6" t="s">
        <v>9</v>
      </c>
      <c r="E17" s="6" t="n">
        <v>30</v>
      </c>
      <c r="F17" s="8" t="n">
        <v>0.77</v>
      </c>
    </row>
    <row r="18" customFormat="false" ht="14.25" hidden="false" customHeight="false" outlineLevel="0" collapsed="false">
      <c r="B18" s="6" t="n">
        <v>457465</v>
      </c>
      <c r="C18" s="7" t="s">
        <v>5</v>
      </c>
      <c r="D18" s="6" t="s">
        <v>6</v>
      </c>
      <c r="E18" s="6" t="n">
        <v>45</v>
      </c>
      <c r="F18" s="8" t="n">
        <v>0.58</v>
      </c>
    </row>
    <row r="19" customFormat="false" ht="14.25" hidden="false" customHeight="false" outlineLevel="0" collapsed="false">
      <c r="B19" s="6" t="n">
        <v>115465</v>
      </c>
      <c r="C19" s="7" t="s">
        <v>10</v>
      </c>
      <c r="D19" s="6" t="s">
        <v>6</v>
      </c>
      <c r="E19" s="6" t="n">
        <v>31</v>
      </c>
      <c r="F19" s="8" t="n">
        <v>0.61</v>
      </c>
    </row>
    <row r="20" customFormat="false" ht="14.25" hidden="false" customHeight="false" outlineLevel="0" collapsed="false">
      <c r="B20" s="6" t="n">
        <v>345464</v>
      </c>
      <c r="C20" s="7" t="s">
        <v>7</v>
      </c>
      <c r="D20" s="6" t="s">
        <v>9</v>
      </c>
      <c r="E20" s="6" t="n">
        <v>30</v>
      </c>
      <c r="F20" s="8" t="n">
        <v>0.67</v>
      </c>
    </row>
    <row r="21" customFormat="false" ht="14.25" hidden="false" customHeight="false" outlineLevel="0" collapsed="false">
      <c r="B21" s="6" t="n">
        <v>896667</v>
      </c>
      <c r="C21" s="7" t="s">
        <v>7</v>
      </c>
      <c r="D21" s="6" t="s">
        <v>9</v>
      </c>
      <c r="E21" s="6" t="n">
        <v>27</v>
      </c>
      <c r="F21" s="8" t="n">
        <v>0.58</v>
      </c>
    </row>
    <row r="22" customFormat="false" ht="14.25" hidden="false" customHeight="false" outlineLevel="0" collapsed="false">
      <c r="B22" s="6" t="n">
        <v>654745</v>
      </c>
      <c r="C22" s="7" t="s">
        <v>11</v>
      </c>
      <c r="D22" s="6" t="s">
        <v>6</v>
      </c>
      <c r="E22" s="6" t="n">
        <v>27</v>
      </c>
      <c r="F22" s="8" t="n">
        <v>0.99</v>
      </c>
    </row>
    <row r="23" customFormat="false" ht="14.25" hidden="false" customHeight="false" outlineLevel="0" collapsed="false">
      <c r="B23" s="6" t="n">
        <v>568545</v>
      </c>
      <c r="C23" s="7" t="s">
        <v>8</v>
      </c>
      <c r="D23" s="6" t="s">
        <v>6</v>
      </c>
      <c r="E23" s="6" t="n">
        <v>29</v>
      </c>
      <c r="F23" s="8" t="n">
        <v>0.92</v>
      </c>
    </row>
    <row r="24" customFormat="false" ht="14.25" hidden="false" customHeight="false" outlineLevel="0" collapsed="false">
      <c r="B24" s="6" t="n">
        <v>667563</v>
      </c>
      <c r="C24" s="7" t="s">
        <v>8</v>
      </c>
      <c r="D24" s="6" t="s">
        <v>9</v>
      </c>
      <c r="E24" s="6" t="n">
        <v>31</v>
      </c>
      <c r="F24" s="8" t="n">
        <v>0.48</v>
      </c>
    </row>
    <row r="25" customFormat="false" ht="14.25" hidden="false" customHeight="false" outlineLevel="0" collapsed="false">
      <c r="B25" s="6" t="n">
        <v>346366</v>
      </c>
      <c r="C25" s="7" t="s">
        <v>11</v>
      </c>
      <c r="D25" s="6" t="s">
        <v>9</v>
      </c>
      <c r="E25" s="6" t="n">
        <v>33</v>
      </c>
      <c r="F25" s="8" t="n">
        <v>0.53</v>
      </c>
    </row>
    <row r="26" customFormat="false" ht="14.25" hidden="false" customHeight="false" outlineLevel="0" collapsed="false">
      <c r="B26" s="6" t="n">
        <v>643456</v>
      </c>
      <c r="C26" s="7" t="s">
        <v>10</v>
      </c>
      <c r="D26" s="6" t="s">
        <v>9</v>
      </c>
      <c r="E26" s="6" t="n">
        <v>42</v>
      </c>
      <c r="F26" s="8" t="n">
        <v>0.86</v>
      </c>
    </row>
    <row r="28" customFormat="false" ht="30" hidden="false" customHeight="true" outlineLevel="0" collapsed="false">
      <c r="A28" s="9" t="s">
        <v>12</v>
      </c>
      <c r="B28" s="10" t="s">
        <v>73</v>
      </c>
      <c r="C28" s="10" t="s">
        <v>14</v>
      </c>
      <c r="D28" s="10" t="s">
        <v>15</v>
      </c>
      <c r="E28" s="10" t="s">
        <v>74</v>
      </c>
      <c r="F28" s="10" t="s">
        <v>17</v>
      </c>
    </row>
  </sheetData>
  <conditionalFormatting sqref="B4:B26">
    <cfRule type="cellIs" priority="2" operator="lessThan" aboveAverage="0" equalAverage="0" bottom="0" percent="0" rank="0" text="" dxfId="8">
      <formula>300000</formula>
    </cfRule>
  </conditionalFormatting>
  <conditionalFormatting sqref="C4:C26">
    <cfRule type="expression" priority="3" aboveAverage="0" equalAverage="0" bottom="0" percent="0" rank="0" text="" dxfId="9">
      <formula>OR(NOT(ISERROR(SEARCH("East",C4))),NOT(ISERROR(SEARCH("West",C4))))</formula>
    </cfRule>
  </conditionalFormatting>
  <conditionalFormatting sqref="D4:D26">
    <cfRule type="expression" priority="4" aboveAverage="0" equalAverage="0" bottom="0" percent="0" rank="0" text="" dxfId="10">
      <formula>NOT(ISERROR(SEARCH("F",D4)))</formula>
    </cfRule>
  </conditionalFormatting>
  <conditionalFormatting sqref="E4:E26">
    <cfRule type="cellIs" priority="5" operator="greaterThan" aboveAverage="0" equalAverage="0" bottom="0" percent="0" rank="0" text="" dxfId="11">
      <formula>40</formula>
    </cfRule>
    <cfRule type="dataBar" priority="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{B5396AA4-9A85-4CDC-88F6-11C0F6CE662C}</x14:id>
        </ext>
      </extLst>
    </cfRule>
  </conditionalFormatting>
  <conditionalFormatting sqref="F4:F26">
    <cfRule type="top10" priority="7" aboveAverage="0" equalAverage="0" bottom="0" percent="1" rank="5" text="" dxfId="1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396AA4-9A85-4CDC-88F6-11C0F6CE662C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E4:E26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18"/>
  <sheetViews>
    <sheetView showFormulas="false" showGridLines="true" showRowColHeaders="true" showZeros="true" rightToLeft="false" tabSelected="true" showOutlineSymbols="true" defaultGridColor="true" view="normal" topLeftCell="A18" colorId="64" zoomScale="90" zoomScaleNormal="90" zoomScalePageLayoutView="100" workbookViewId="0">
      <selection pane="topLeft" activeCell="F17" activeCellId="0" sqref="F1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4" style="1" width="7.11"/>
    <col collapsed="false" customWidth="true" hidden="false" outlineLevel="0" max="5" min="5" style="0" width="14.33"/>
    <col collapsed="false" customWidth="true" hidden="false" outlineLevel="0" max="6" min="6" style="0" width="12.22"/>
    <col collapsed="false" customWidth="true" hidden="false" outlineLevel="0" max="8" min="7" style="0" width="10"/>
    <col collapsed="false" customWidth="true" hidden="false" outlineLevel="0" max="9" min="9" style="0" width="19"/>
    <col collapsed="false" customWidth="true" hidden="false" outlineLevel="0" max="10" min="10" style="0" width="15.44"/>
    <col collapsed="false" customWidth="true" hidden="false" outlineLevel="0" max="11" min="11" style="0" width="4.22"/>
    <col collapsed="false" customWidth="true" hidden="false" outlineLevel="0" max="12" min="12" style="0" width="14.88"/>
  </cols>
  <sheetData>
    <row r="3" customFormat="false" ht="14.25" hidden="false" customHeight="false" outlineLevel="0" collapsed="false">
      <c r="B3" s="11" t="s">
        <v>18</v>
      </c>
      <c r="C3" s="11" t="s">
        <v>19</v>
      </c>
      <c r="D3" s="12" t="s">
        <v>20</v>
      </c>
      <c r="E3" s="13" t="s">
        <v>21</v>
      </c>
      <c r="F3" s="13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L3" s="0" t="s">
        <v>27</v>
      </c>
      <c r="M3" s="14" t="n">
        <v>9.87</v>
      </c>
    </row>
    <row r="4" customFormat="false" ht="14.25" hidden="false" customHeight="false" outlineLevel="0" collapsed="false">
      <c r="B4" s="7" t="s">
        <v>28</v>
      </c>
      <c r="C4" s="7" t="s">
        <v>29</v>
      </c>
      <c r="D4" s="6" t="s">
        <v>30</v>
      </c>
      <c r="E4" s="15" t="n">
        <f aca="true">TODAY()</f>
        <v>46302</v>
      </c>
      <c r="F4" s="16" t="n">
        <v>1000</v>
      </c>
      <c r="G4" s="16" t="n">
        <f aca="false">F4*Nat_Ins_Rate</f>
        <v>63</v>
      </c>
      <c r="H4" s="17" t="n">
        <f aca="false">F4*Tax_Rate</f>
        <v>200</v>
      </c>
      <c r="I4" s="16" t="n">
        <f aca="false">F4*Pension_Cont</f>
        <v>38</v>
      </c>
      <c r="J4" s="16" t="n">
        <f aca="false">F4-SUM(G4:I4)</f>
        <v>699</v>
      </c>
      <c r="L4" s="0" t="s">
        <v>31</v>
      </c>
      <c r="M4" s="18" t="n">
        <v>0.063</v>
      </c>
    </row>
    <row r="5" customFormat="false" ht="14.25" hidden="false" customHeight="false" outlineLevel="0" collapsed="false">
      <c r="B5" s="7" t="s">
        <v>32</v>
      </c>
      <c r="C5" s="7" t="s">
        <v>33</v>
      </c>
      <c r="D5" s="6" t="s">
        <v>34</v>
      </c>
      <c r="E5" s="15" t="n">
        <f aca="false">E4-1</f>
        <v>46301</v>
      </c>
      <c r="F5" s="16" t="n">
        <v>1500</v>
      </c>
      <c r="G5" s="16" t="n">
        <f aca="false">F5*Nat_Ins_Rate</f>
        <v>94.5</v>
      </c>
      <c r="H5" s="16" t="n">
        <f aca="false">F5*Tax_Rate</f>
        <v>300</v>
      </c>
      <c r="I5" s="16" t="n">
        <f aca="false">F5*Pension_Cont</f>
        <v>57</v>
      </c>
      <c r="J5" s="16" t="n">
        <f aca="false">F5-SUM(G5:I5)</f>
        <v>1048.5</v>
      </c>
      <c r="L5" s="0" t="s">
        <v>35</v>
      </c>
      <c r="M5" s="18" t="n">
        <v>0.2</v>
      </c>
    </row>
    <row r="6" customFormat="false" ht="14.25" hidden="false" customHeight="false" outlineLevel="0" collapsed="false">
      <c r="B6" s="7" t="s">
        <v>36</v>
      </c>
      <c r="C6" s="7" t="s">
        <v>37</v>
      </c>
      <c r="D6" s="6" t="s">
        <v>38</v>
      </c>
      <c r="E6" s="15" t="n">
        <f aca="false">E5-1</f>
        <v>46300</v>
      </c>
      <c r="F6" s="16" t="n">
        <v>1235</v>
      </c>
      <c r="G6" s="16" t="n">
        <f aca="false">F6*Nat_Ins_Rate</f>
        <v>77.805</v>
      </c>
      <c r="H6" s="16" t="n">
        <f aca="false">F6*Tax_Rate</f>
        <v>247</v>
      </c>
      <c r="I6" s="16" t="n">
        <f aca="false">F6*Pension_Cont</f>
        <v>46.93</v>
      </c>
      <c r="J6" s="16" t="n">
        <f aca="false">F6-SUM(G6:I6)</f>
        <v>863.265</v>
      </c>
      <c r="L6" s="0" t="s">
        <v>39</v>
      </c>
      <c r="M6" s="19" t="n">
        <v>0.038</v>
      </c>
    </row>
    <row r="7" customFormat="false" ht="14.25" hidden="false" customHeight="false" outlineLevel="0" collapsed="false">
      <c r="B7" s="7" t="s">
        <v>40</v>
      </c>
      <c r="C7" s="7" t="s">
        <v>41</v>
      </c>
      <c r="D7" s="6" t="s">
        <v>9</v>
      </c>
      <c r="E7" s="15" t="n">
        <f aca="false">E6-1</f>
        <v>46299</v>
      </c>
      <c r="F7" s="16" t="n">
        <v>1452</v>
      </c>
      <c r="G7" s="16" t="n">
        <f aca="false">F7*Nat_Ins_Rate</f>
        <v>91.476</v>
      </c>
      <c r="H7" s="16" t="n">
        <f aca="false">F7*Tax_Rate</f>
        <v>290.4</v>
      </c>
      <c r="I7" s="16" t="n">
        <f aca="false">F7*Pension_Cont</f>
        <v>55.176</v>
      </c>
      <c r="J7" s="16" t="n">
        <f aca="false">F7-SUM(G7:I7)</f>
        <v>1014.948</v>
      </c>
    </row>
    <row r="8" customFormat="false" ht="14.25" hidden="false" customHeight="false" outlineLevel="0" collapsed="false">
      <c r="B8" s="7" t="s">
        <v>42</v>
      </c>
      <c r="C8" s="7" t="s">
        <v>43</v>
      </c>
      <c r="D8" s="6" t="s">
        <v>44</v>
      </c>
      <c r="E8" s="15" t="n">
        <f aca="false">E7-1</f>
        <v>46298</v>
      </c>
      <c r="F8" s="16" t="n">
        <v>5845</v>
      </c>
      <c r="G8" s="16" t="n">
        <f aca="false">F8*Nat_Ins_Rate</f>
        <v>368.235</v>
      </c>
      <c r="H8" s="16" t="n">
        <f aca="false">F8*Tax_Rate</f>
        <v>1169</v>
      </c>
      <c r="I8" s="16" t="n">
        <f aca="false">F8*Pension_Cont</f>
        <v>222.11</v>
      </c>
      <c r="J8" s="16" t="n">
        <f aca="false">F8-SUM(G8:I8)</f>
        <v>4085.655</v>
      </c>
    </row>
    <row r="9" customFormat="false" ht="14.25" hidden="false" customHeight="false" outlineLevel="0" collapsed="false">
      <c r="B9" s="7" t="s">
        <v>45</v>
      </c>
      <c r="C9" s="7" t="s">
        <v>43</v>
      </c>
      <c r="D9" s="6" t="s">
        <v>46</v>
      </c>
      <c r="E9" s="15" t="n">
        <f aca="false">E8-1</f>
        <v>46297</v>
      </c>
      <c r="F9" s="16" t="n">
        <v>5000</v>
      </c>
      <c r="G9" s="16" t="n">
        <f aca="false">F9*Nat_Ins_Rate</f>
        <v>315</v>
      </c>
      <c r="H9" s="16" t="n">
        <f aca="false">F9*Tax_Rate</f>
        <v>1000</v>
      </c>
      <c r="I9" s="16" t="n">
        <f aca="false">F9*Pension_Cont</f>
        <v>190</v>
      </c>
      <c r="J9" s="16" t="n">
        <f aca="false">F9-SUM(G9:I9)</f>
        <v>3495</v>
      </c>
    </row>
    <row r="10" customFormat="false" ht="14.25" hidden="false" customHeight="false" outlineLevel="0" collapsed="false">
      <c r="B10" s="7" t="s">
        <v>47</v>
      </c>
      <c r="C10" s="7" t="s">
        <v>48</v>
      </c>
      <c r="D10" s="6" t="s">
        <v>49</v>
      </c>
      <c r="E10" s="15" t="n">
        <f aca="false">E9-1</f>
        <v>46296</v>
      </c>
      <c r="F10" s="16" t="n">
        <v>1200</v>
      </c>
      <c r="G10" s="16" t="n">
        <f aca="false">F10*Nat_Ins_Rate</f>
        <v>75.6</v>
      </c>
      <c r="H10" s="16" t="n">
        <f aca="false">F10*Tax_Rate</f>
        <v>240</v>
      </c>
      <c r="I10" s="16" t="n">
        <f aca="false">F10*Pension_Cont</f>
        <v>45.6</v>
      </c>
      <c r="J10" s="16" t="n">
        <f aca="false">F10-SUM(G10:I10)</f>
        <v>838.8</v>
      </c>
    </row>
    <row r="11" customFormat="false" ht="14.25" hidden="false" customHeight="false" outlineLevel="0" collapsed="false">
      <c r="B11" s="7" t="s">
        <v>50</v>
      </c>
      <c r="C11" s="7" t="s">
        <v>51</v>
      </c>
      <c r="D11" s="6" t="s">
        <v>52</v>
      </c>
      <c r="E11" s="15" t="n">
        <f aca="false">E10-1</f>
        <v>46295</v>
      </c>
      <c r="F11" s="16" t="n">
        <v>1320</v>
      </c>
      <c r="G11" s="16" t="n">
        <f aca="false">F11*Nat_Ins_Rate</f>
        <v>83.16</v>
      </c>
      <c r="H11" s="16" t="n">
        <f aca="false">F11*Tax_Rate</f>
        <v>264</v>
      </c>
      <c r="I11" s="16" t="n">
        <f aca="false">F11*Pension_Cont</f>
        <v>50.16</v>
      </c>
      <c r="J11" s="16" t="n">
        <f aca="false">F11-SUM(G11:I11)</f>
        <v>922.68</v>
      </c>
    </row>
    <row r="12" customFormat="false" ht="14.25" hidden="false" customHeight="false" outlineLevel="0" collapsed="false">
      <c r="B12" s="7" t="s">
        <v>53</v>
      </c>
      <c r="C12" s="7" t="s">
        <v>54</v>
      </c>
      <c r="D12" s="6" t="s">
        <v>38</v>
      </c>
      <c r="E12" s="15" t="n">
        <f aca="false">E11-1</f>
        <v>46294</v>
      </c>
      <c r="F12" s="16" t="n">
        <v>1478</v>
      </c>
      <c r="G12" s="16" t="n">
        <f aca="false">F12*Nat_Ins_Rate</f>
        <v>93.114</v>
      </c>
      <c r="H12" s="16" t="n">
        <f aca="false">F12*Tax_Rate</f>
        <v>295.6</v>
      </c>
      <c r="I12" s="16" t="n">
        <f aca="false">F12*Pension_Cont</f>
        <v>56.164</v>
      </c>
      <c r="J12" s="16" t="n">
        <f aca="false">F12-SUM(G12:I12)</f>
        <v>1033.122</v>
      </c>
    </row>
    <row r="13" customFormat="false" ht="14.25" hidden="false" customHeight="false" outlineLevel="0" collapsed="false">
      <c r="B13" s="7" t="s">
        <v>55</v>
      </c>
      <c r="C13" s="7" t="s">
        <v>56</v>
      </c>
      <c r="D13" s="6" t="s">
        <v>57</v>
      </c>
      <c r="E13" s="15" t="n">
        <f aca="false">E12-1</f>
        <v>46293</v>
      </c>
      <c r="F13" s="16" t="n">
        <v>5369</v>
      </c>
      <c r="G13" s="16" t="n">
        <f aca="false">F13*Nat_Ins_Rate</f>
        <v>338.247</v>
      </c>
      <c r="H13" s="16" t="n">
        <f aca="false">F13*Tax_Rate</f>
        <v>1073.8</v>
      </c>
      <c r="I13" s="16" t="n">
        <f aca="false">F13*Pension_Cont</f>
        <v>204.022</v>
      </c>
      <c r="J13" s="16" t="n">
        <f aca="false">F13-SUM(G13:I13)</f>
        <v>3752.931</v>
      </c>
    </row>
    <row r="14" customFormat="false" ht="14.25" hidden="false" customHeight="false" outlineLevel="0" collapsed="false">
      <c r="B14" s="7" t="s">
        <v>58</v>
      </c>
      <c r="C14" s="7" t="s">
        <v>59</v>
      </c>
      <c r="D14" s="6" t="s">
        <v>60</v>
      </c>
      <c r="E14" s="15" t="n">
        <f aca="false">E13-1</f>
        <v>46292</v>
      </c>
      <c r="F14" s="16" t="n">
        <v>2153</v>
      </c>
      <c r="G14" s="16" t="n">
        <f aca="false">F14*Nat_Ins_Rate</f>
        <v>135.639</v>
      </c>
      <c r="H14" s="16" t="n">
        <f aca="false">F14*Tax_Rate</f>
        <v>430.6</v>
      </c>
      <c r="I14" s="16" t="n">
        <f aca="false">F14*Pension_Cont</f>
        <v>81.814</v>
      </c>
      <c r="J14" s="16" t="n">
        <f aca="false">F14-SUM(G14:I14)</f>
        <v>1504.947</v>
      </c>
    </row>
    <row r="15" customFormat="false" ht="14.25" hidden="false" customHeight="false" outlineLevel="0" collapsed="false">
      <c r="B15" s="7" t="s">
        <v>61</v>
      </c>
      <c r="C15" s="7" t="s">
        <v>62</v>
      </c>
      <c r="D15" s="6" t="s">
        <v>38</v>
      </c>
      <c r="E15" s="15" t="n">
        <f aca="false">E14-1</f>
        <v>46291</v>
      </c>
      <c r="F15" s="16" t="n">
        <v>4752</v>
      </c>
      <c r="G15" s="16" t="n">
        <f aca="false">F15*Nat_Ins_Rate</f>
        <v>299.376</v>
      </c>
      <c r="H15" s="16" t="n">
        <f aca="false">F15*Tax_Rate</f>
        <v>950.4</v>
      </c>
      <c r="I15" s="16" t="n">
        <f aca="false">F15*Pension_Cont</f>
        <v>180.576</v>
      </c>
      <c r="J15" s="16" t="n">
        <f aca="false">F15-SUM(G15:I15)</f>
        <v>3321.648</v>
      </c>
    </row>
    <row r="16" customFormat="false" ht="14.25" hidden="false" customHeight="false" outlineLevel="0" collapsed="false">
      <c r="B16" s="20" t="s">
        <v>63</v>
      </c>
      <c r="C16" s="21"/>
      <c r="D16" s="22"/>
      <c r="E16" s="23" t="n">
        <f aca="false">SUM(E4:E15)</f>
        <v>555558</v>
      </c>
      <c r="F16" s="24" t="n">
        <f aca="false">SUM(F4:F15)</f>
        <v>32304</v>
      </c>
      <c r="G16" s="24" t="n">
        <f aca="false">SUM(G4:G15)</f>
        <v>2035.152</v>
      </c>
      <c r="H16" s="24" t="n">
        <f aca="false">SUM(H4:H15)</f>
        <v>6460.8</v>
      </c>
      <c r="I16" s="24" t="n">
        <f aca="false">F16*Pension_Cont</f>
        <v>1227.552</v>
      </c>
      <c r="J16" s="24" t="n">
        <f aca="false">SUM(J4:J15)</f>
        <v>22580.496</v>
      </c>
    </row>
    <row r="18" customFormat="false" ht="36" hidden="false" customHeight="true" outlineLevel="0" collapsed="false">
      <c r="A18" s="25" t="s">
        <v>64</v>
      </c>
      <c r="B18" s="26" t="s">
        <v>65</v>
      </c>
      <c r="C18" s="26" t="s">
        <v>66</v>
      </c>
      <c r="D18" s="26" t="s">
        <v>38</v>
      </c>
      <c r="E18" s="26" t="s">
        <v>67</v>
      </c>
      <c r="F18" s="26" t="s">
        <v>68</v>
      </c>
      <c r="G18" s="26" t="s">
        <v>69</v>
      </c>
      <c r="H18" s="26" t="s">
        <v>70</v>
      </c>
      <c r="I18" s="26" t="s">
        <v>71</v>
      </c>
      <c r="J18" s="26" t="s">
        <v>72</v>
      </c>
    </row>
  </sheetData>
  <conditionalFormatting sqref="B4:B15">
    <cfRule type="expression" priority="2" aboveAverage="0" equalAverage="0" bottom="0" percent="0" rank="0" text="" dxfId="10">
      <formula>RIGHT(LEFT(B4,SEARCH("/",B4)+1),1)="1"</formula>
    </cfRule>
  </conditionalFormatting>
  <conditionalFormatting sqref="C4:C15">
    <cfRule type="expression" priority="3" aboveAverage="0" equalAverage="0" bottom="0" percent="0" rank="0" text="" dxfId="9">
      <formula>LEN(C4)&gt;5</formula>
    </cfRule>
  </conditionalFormatting>
  <conditionalFormatting sqref="D4:D15">
    <cfRule type="expression" priority="4" aboveAverage="0" equalAverage="0" bottom="0" percent="0" rank="0" text="" dxfId="10">
      <formula>NOT(ISERROR(SEARCH("H",D4)))</formula>
    </cfRule>
  </conditionalFormatting>
  <conditionalFormatting sqref="E4:E15">
    <cfRule type="expression" priority="5" aboveAverage="0" equalAverage="0" bottom="0" percent="0" rank="0" text="" dxfId="9">
      <formula>AND(INT(E4)&gt;=TODAY()-WEEKDAY(TODAY(),2)-6,INT(E4)&lt;=TODAY()-WEEKDAY(TODAY(),2))</formula>
    </cfRule>
  </conditionalFormatting>
  <conditionalFormatting sqref="F4:F15">
    <cfRule type="top10" priority="6" aboveAverage="0" equalAverage="0" bottom="0" percent="1" rank="25" text="" dxfId="12"/>
  </conditionalFormatting>
  <conditionalFormatting sqref="G4:G15">
    <cfRule type="aboveAverage" priority="7" aboveAverage="1" equalAverage="0" bottom="0" percent="0" rank="0" text="" dxfId="13">
      <formula>0</formula>
    </cfRule>
  </conditionalFormatting>
  <conditionalFormatting sqref="H4:H1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:I1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:J15">
    <cfRule type="iconSet" priority="10">
      <iconSet iconSet="3TrafficLights1">
        <cfvo type="num" val="0"/>
        <cfvo type="num" val="1000"/>
        <cfvo type="num" val="2000"/>
      </iconSe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2018-02-12T21:10:54Z</dcterms:created>
  <dc:creator>Jenny Margaret Brown</dc:creator>
  <dc:description/>
  <dc:language>en-US</dc:language>
  <cp:lastModifiedBy>Mariam El Masry</cp:lastModifiedBy>
  <dcterms:modified xsi:type="dcterms:W3CDTF">2026-10-07T14:22:31Z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